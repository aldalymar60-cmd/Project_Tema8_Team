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bb84e752d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6e6b82de0ebb4462"/>
    <x:sheet xmlns:r="http://schemas.openxmlformats.org/officeDocument/2006/relationships" name="Summary" sheetId="2" r:id="R181adbc75ef8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47cc10f7c4403" /><Relationship Type="http://schemas.openxmlformats.org/officeDocument/2006/relationships/theme" Target="/xl/theme/theme1.xml" Id="R9624535bc9f04e0d" /><Relationship Type="http://schemas.openxmlformats.org/officeDocument/2006/relationships/sharedStrings" Target="/xl/sharedStrings.xml" Id="R91eae14934224a30" /><Relationship Type="http://schemas.openxmlformats.org/officeDocument/2006/relationships/worksheet" Target="/xl/worksheets/sheet1.xml" Id="R6e6b82de0ebb4462" /><Relationship Type="http://schemas.openxmlformats.org/officeDocument/2006/relationships/worksheet" Target="/xl/worksheets/sheet2.xml" Id="R181adbc75ef84376" /></Relationships>
</file>

<file path=xl/tables/table1.xml><?xml version="1.0" encoding="utf-8"?>
<x:table xmlns:x="http://schemas.openxmlformats.org/spreadsheetml/2006/main" id="1" name="TestPlanTable" displayName="TestPlanTable" ref="A1:G9" headerRowCount="1">
  <x:tableColumns count="7">
    <x:tableColumn id="1" name="№"/>
    <x:tableColumn id="2" name="Функция"/>
    <x:tableColumn id="3" name="Входные данные"/>
    <x:tableColumn id="4" name="Ожидаемый результат"/>
    <x:tableColumn id="5" name="Фактический результат"/>
    <x:tableColumn id="6" name="Статус"/>
    <x:tableColumn id="7" name="Ответственны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4805f0d84642f7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32" hidden="0" customWidth="1"/>
    <x:col min="4" max="4" width="38" hidden="0" customWidth="1"/>
    <x:col min="5" max="5" width="32" hidden="0" customWidth="1"/>
    <x:col min="6" max="6" width="12" hidden="0" customWidth="1"/>
    <x:col min="7" max="7" width="28" hidden="0" customWidth="1"/>
  </x:cols>
  <x:sheetData>
    <x:row r="1" ht="36" customHeight="1">
      <x:c r="A1" s="14" t="str">
        <x:v>№</x:v>
      </x:c>
      <x:c r="B1" s="14" t="str">
        <x:v>Функция</x:v>
      </x:c>
      <x:c r="C1" s="14" t="str">
        <x:v>Входные данные</x:v>
      </x:c>
      <x:c r="D1" s="14" t="str">
        <x:v>Ожидаемый результат</x:v>
      </x:c>
      <x:c r="E1" s="14" t="str">
        <x:v>Фактический результат</x:v>
      </x:c>
      <x:c r="F1" s="14" t="str">
        <x:v>Статус</x:v>
      </x:c>
      <x:c r="G1" s="14" t="str">
        <x:v>Ответственный</x:v>
      </x:c>
    </x:row>
    <x:row r="2" ht="36" customHeight="1">
      <x:c r="A2" s="15" t="n">
        <x:v>1</x:v>
      </x:c>
      <x:c r="B2" s="15" t="str">
        <x:v>RSA encryption/decryption</x:v>
      </x:c>
      <x:c r="C2" s="15" t="str">
        <x:v>text = hello</x:v>
      </x:c>
      <x:c r="D2" s="15" t="str">
        <x:v>Текст шифруется и расшифровывается обратно</x:v>
      </x:c>
      <x:c r="E2" s="15" t="str">
        <x:v>Текст успешно зашифрован и расшифрован</x:v>
      </x:c>
      <x:c r="F2" s="15" t="str">
        <x:v>Pass</x:v>
      </x:c>
      <x:c r="G2" s="15" t="str">
        <x:v>Альдали Аммар</x:v>
      </x:c>
    </x:row>
    <x:row r="3" ht="36" customHeight="1">
      <x:c r="A3" s="15" t="n">
        <x:v>2</x:v>
      </x:c>
      <x:c r="B3" s="15" t="str">
        <x:v>SHA-512</x:v>
      </x:c>
      <x:c r="C3" s="15" t="str">
        <x:v>text = hello</x:v>
      </x:c>
      <x:c r="D3" s="15" t="str">
        <x:v>Возвращается SHA-512 хэш</x:v>
      </x:c>
      <x:c r="E3" s="15" t="str">
        <x:v>Хэш успешно получен</x:v>
      </x:c>
      <x:c r="F3" s="15" t="str">
        <x:v>Pass</x:v>
      </x:c>
      <x:c r="G3" s="15" t="str">
        <x:v>Альдали Аммар</x:v>
      </x:c>
    </x:row>
    <x:row r="4" ht="36" customHeight="1">
      <x:c r="A4" s="15" t="n">
        <x:v>3</x:v>
      </x:c>
      <x:c r="B4" s="15" t="str">
        <x:v>Метод деления пополам</x:v>
      </x:c>
      <x:c r="C4" s="15" t="str">
        <x:v>a = 1, b = 3, epsilon = 0.0001</x:v>
      </x:c>
      <x:c r="D4" s="15" t="str">
        <x:v>Корень уравнения приблизительно равен 2</x:v>
      </x:c>
      <x:c r="E4" s="15" t="str">
        <x:v>Получен корень около 2</x:v>
      </x:c>
      <x:c r="F4" s="15" t="str">
        <x:v>Pass</x:v>
      </x:c>
      <x:c r="G4" s="15" t="str">
        <x:v>Альдали Аммар</x:v>
      </x:c>
    </x:row>
    <x:row r="5" ht="36" customHeight="1">
      <x:c r="A5" s="15" t="n">
        <x:v>4</x:v>
      </x:c>
      <x:c r="B5" s="15" t="str">
        <x:v>Кратчайший путь</x:v>
      </x:c>
      <x:c r="C5" s="15" t="str">
        <x:v>start = A, end = D</x:v>
      </x:c>
      <x:c r="D5" s="15" t="str">
        <x:v>Возвращается кратчайший путь и расстояние</x:v>
      </x:c>
      <x:c r="E5" s="15" t="str">
        <x:v>Путь и расстояние получены</x:v>
      </x:c>
      <x:c r="F5" s="15" t="str">
        <x:v>Pass</x:v>
      </x:c>
      <x:c r="G5" s="15" t="str">
        <x:v>Гришин Григорий Александрович</x:v>
      </x:c>
    </x:row>
    <x:row r="6" ht="36" customHeight="1">
      <x:c r="A6" s="15" t="n">
        <x:v>5</x:v>
      </x:c>
      <x:c r="B6" s="15" t="str">
        <x:v>Singleton</x:v>
      </x:c>
      <x:c r="C6" s="15" t="str">
        <x:v>Создание двух объектов ServerConfig</x:v>
      </x:c>
      <x:c r="D6" s="15" t="str">
        <x:v>Оба объекта являются одним экземпляром</x:v>
      </x:c>
      <x:c r="E6" s="15" t="str">
        <x:v>Проверка выполнена успешно</x:v>
      </x:c>
      <x:c r="F6" s="15" t="str">
        <x:v>Pass</x:v>
      </x:c>
      <x:c r="G6" s="15" t="str">
        <x:v>Гришин Григорий Александрович</x:v>
      </x:c>
    </x:row>
    <x:row r="7" ht="36" customHeight="1">
      <x:c r="A7" s="15" t="n">
        <x:v>6</x:v>
      </x:c>
      <x:c r="B7" s="15" t="str">
        <x:v>Клиент-серверное взаимодействие</x:v>
      </x:c>
      <x:c r="C7" s="15" t="str">
        <x:v>Запрос клиента на /process</x:v>
      </x:c>
      <x:c r="D7" s="15" t="str">
        <x:v>Сервер возвращает JSON-ответ</x:v>
      </x:c>
      <x:c r="E7" s="15" t="str">
        <x:v>Ответ сервера получен</x:v>
      </x:c>
      <x:c r="F7" s="15" t="str">
        <x:v>Pass</x:v>
      </x:c>
      <x:c r="G7" s="15" t="str">
        <x:v>Алали Мохаммад</x:v>
      </x:c>
    </x:row>
    <x:row r="8" ht="36" customHeight="1">
      <x:c r="A8" s="15" t="n">
        <x:v>7</x:v>
      </x:c>
      <x:c r="B8" s="15" t="str">
        <x:v>База данных SQLite</x:v>
      </x:c>
      <x:c r="C8" s="15" t="str">
        <x:v>Выполнение любой операции</x:v>
      </x:c>
      <x:c r="D8" s="15" t="str">
        <x:v>Операция сохраняется в таблицу operations</x:v>
      </x:c>
      <x:c r="E8" s="15" t="str">
        <x:v>Запись сохраняется</x:v>
      </x:c>
      <x:c r="F8" s="15" t="str">
        <x:v>Pass</x:v>
      </x:c>
      <x:c r="G8" s="15" t="str">
        <x:v>Гришин Григорий Александрович</x:v>
      </x:c>
    </x:row>
    <x:row r="9" ht="36" customHeight="1">
      <x:c r="A9" s="15" t="n">
        <x:v>8</x:v>
      </x:c>
      <x:c r="B9" s="15" t="str">
        <x:v>Docker</x:v>
      </x:c>
      <x:c r="C9" s="15" t="str">
        <x:v>docker-compose up --build</x:v>
      </x:c>
      <x:c r="D9" s="15" t="str">
        <x:v>Сервер запускается в контейнере</x:v>
      </x:c>
      <x:c r="E9" s="15" t="str">
        <x:v>Контейнер запускается</x:v>
      </x:c>
      <x:c r="F9" s="15" t="str">
        <x:v>Pass</x:v>
      </x:c>
      <x:c r="G9" s="15" t="str">
        <x:v>Алали Мохаммад</x:v>
      </x:c>
    </x:row>
  </x:sheetData>
  <x:conditionalFormatting sqref="F2:F9">
    <x:cfRule type="expression" dxfId="0" priority="1">
      <x:formula>F2="Pass"</x:formula>
    </x:cfRule>
    <x:cfRule type="expression" dxfId="1" priority="2">
      <x:formula>F2="Fail"</x:formula>
    </x:cfRule>
    <x:cfRule type="expression" dxfId="2" priority="3">
      <x:formula>F2="In progress"</x:formula>
    </x:cfRule>
  </x:conditionalFormatting>
  <x:dataValidations count="1">
    <x:dataValidation type="list" sqref="F2:F9">
      <x:formula1>"Pass,Fail,In 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805f0d84642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9" t="str">
        <x:v>Test Plan Summary</x:v>
      </x:c>
    </x:row>
    <x:row r="3" ht="24" customHeight="1">
      <x:c r="A3" s="23" t="str">
        <x:v>Metric</x:v>
      </x:c>
      <x:c r="B3" s="23" t="str">
        <x:v>Value</x:v>
      </x:c>
    </x:row>
    <x:row r="4" ht="24" customHeight="1">
      <x:c r="A4" t="str">
        <x:v>Total tests</x:v>
      </x:c>
      <x:c r="B4" t="n">
        <x:f>COUNTA('Test Plan'!A2:A9)</x:f>
        <x:v>8</x:v>
      </x:c>
    </x:row>
    <x:row r="5" ht="24" customHeight="1">
      <x:c r="A5" t="str">
        <x:v>Passed</x:v>
      </x:c>
      <x:c r="B5" t="n">
        <x:f>COUNTIF('Test Plan'!F2:F9,"Pass")</x:f>
        <x:v>8</x:v>
      </x:c>
    </x:row>
    <x:row r="6" ht="24" customHeight="1">
      <x:c r="A6" t="str">
        <x:v>Failed</x:v>
      </x:c>
      <x:c r="B6" t="n">
        <x:f>COUNTIF('Test Plan'!F2:F9,"Fail")</x:f>
        <x:v>0</x:v>
      </x:c>
    </x:row>
    <x:row r="7" ht="24" customHeight="1">
      <x:c r="A7" t="str">
        <x:v>In progress</x:v>
      </x:c>
      <x:c r="B7" t="n">
        <x:f>COUNTIF('Test Plan'!F2:F9,"In progress")</x:f>
        <x:v>0</x:v>
      </x:c>
    </x:row>
  </x:sheetData>
  <x:mergeCells>
    <x:mergeCell ref="A1:D1"/>
  </x:mergeCells>
  <x:pageMargins left="0.7" right="0.7" top="0.75" bottom="0.75" header="0.3" footer="0.3"/>
</x:worksheet>
</file>